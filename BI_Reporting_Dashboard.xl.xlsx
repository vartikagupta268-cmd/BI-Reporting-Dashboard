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3"/>
  </bookViews>
  <sheets>
    <sheet name="RawData" sheetId="1" r:id="rId1"/>
    <sheet name="Analysis" sheetId="2" r:id="rId2"/>
    <sheet name="Product Analysis" sheetId="3" r:id="rId3"/>
    <sheet name="Dashboard" sheetId="4" r:id="rId4"/>
  </sheets>
  <calcPr calcId="124519"/>
</workbook>
</file>

<file path=xl/calcChain.xml><?xml version="1.0" encoding="utf-8"?>
<calcChain xmlns="http://schemas.openxmlformats.org/spreadsheetml/2006/main">
  <c r="E5" i="2"/>
  <c r="E12" i="4" s="1"/>
  <c r="E4" i="2"/>
  <c r="E11" i="4" s="1"/>
  <c r="E3" i="2"/>
  <c r="E10" i="4" s="1"/>
  <c r="E2" i="2"/>
  <c r="E9" i="4" s="1"/>
  <c r="B2" i="3"/>
  <c r="B9" i="4" s="1"/>
  <c r="B3" i="3"/>
  <c r="B10" i="4" s="1"/>
  <c r="B4" i="3"/>
  <c r="B11" i="4" s="1"/>
  <c r="B5" i="3"/>
  <c r="B12" i="4" s="1"/>
  <c r="B6" i="3"/>
  <c r="B13" i="4" s="1"/>
  <c r="B7" i="3"/>
  <c r="B14" i="4" s="1"/>
  <c r="B8" i="3"/>
  <c r="B15" i="4" s="1"/>
  <c r="B9" i="3"/>
  <c r="B16" i="4" s="1"/>
  <c r="H2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B4" i="2"/>
  <c r="E5" i="4" s="1"/>
  <c r="B3" i="2"/>
  <c r="C5" i="4" s="1"/>
  <c r="B2" i="2" l="1"/>
  <c r="B5" l="1"/>
  <c r="G5" i="4" s="1"/>
  <c r="A5"/>
</calcChain>
</file>

<file path=xl/sharedStrings.xml><?xml version="1.0" encoding="utf-8"?>
<sst xmlns="http://schemas.openxmlformats.org/spreadsheetml/2006/main" count="138" uniqueCount="39">
  <si>
    <t xml:space="preserve">Order ID </t>
  </si>
  <si>
    <t>DATE</t>
  </si>
  <si>
    <t>Product</t>
  </si>
  <si>
    <t>Category</t>
  </si>
  <si>
    <t>Region</t>
  </si>
  <si>
    <t>Quantity</t>
  </si>
  <si>
    <t>Unit Price</t>
  </si>
  <si>
    <t>Revenue</t>
  </si>
  <si>
    <t>Laptop</t>
  </si>
  <si>
    <t>Mouse</t>
  </si>
  <si>
    <t>Keyboard</t>
  </si>
  <si>
    <t>East</t>
  </si>
  <si>
    <t>North</t>
  </si>
  <si>
    <t>West</t>
  </si>
  <si>
    <t>South</t>
  </si>
  <si>
    <t>Electronics</t>
  </si>
  <si>
    <t>Accessories</t>
  </si>
  <si>
    <t>Monitor</t>
  </si>
  <si>
    <t>Headphones</t>
  </si>
  <si>
    <t>Smartphone</t>
  </si>
  <si>
    <t>Tablet</t>
  </si>
  <si>
    <t>Printer</t>
  </si>
  <si>
    <t>Office Equipment</t>
  </si>
  <si>
    <t>SALES PERFORMANCE ANALYSIS</t>
  </si>
  <si>
    <t>Total Revenue</t>
  </si>
  <si>
    <t>Total Orders</t>
  </si>
  <si>
    <t>Total Quantity Sold</t>
  </si>
  <si>
    <t>Average Order Value</t>
  </si>
  <si>
    <t>BI SALES REPORTING DASHBOARD</t>
  </si>
  <si>
    <t>Total Quantity</t>
  </si>
  <si>
    <t xml:space="preserve">Total Revenue </t>
  </si>
  <si>
    <t xml:space="preserve"> Smartphone</t>
  </si>
  <si>
    <t xml:space="preserve"> Tablet</t>
  </si>
  <si>
    <t xml:space="preserve"> Headphones</t>
  </si>
  <si>
    <t xml:space="preserve"> Keyboard</t>
  </si>
  <si>
    <t xml:space="preserve"> Mouse</t>
  </si>
  <si>
    <t>PRODUCT-WISE REVENUE</t>
  </si>
  <si>
    <t xml:space="preserve">East </t>
  </si>
  <si>
    <t>REGION-WISE REVENUE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</si>
</sst>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0" xfId="1" quotePrefix="1" applyFont="1" applyAlignment="1">
      <alignment horizontal="left"/>
    </xf>
    <xf numFmtId="43" fontId="3" fillId="0" borderId="0" xfId="1" applyFont="1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8"/>
  <c:chart>
    <c:title>
      <c:tx>
        <c:rich>
          <a:bodyPr/>
          <a:lstStyle/>
          <a:p>
            <a:pPr>
              <a:defRPr/>
            </a:pPr>
            <a:r>
              <a:rPr lang="en-US"/>
              <a:t>Product Wise Revenue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Dashboard!$A$9:$A$16</c:f>
              <c:strCache>
                <c:ptCount val="8"/>
                <c:pt idx="0">
                  <c:v>Laptop</c:v>
                </c:pt>
                <c:pt idx="1">
                  <c:v> Smartphone</c:v>
                </c:pt>
                <c:pt idx="2">
                  <c:v> Tablet</c:v>
                </c:pt>
                <c:pt idx="3">
                  <c:v>Monitor</c:v>
                </c:pt>
                <c:pt idx="4">
                  <c:v>Printer</c:v>
                </c:pt>
                <c:pt idx="5">
                  <c:v> Headphones</c:v>
                </c:pt>
                <c:pt idx="6">
                  <c:v> Keyboard</c:v>
                </c:pt>
                <c:pt idx="7">
                  <c:v> Mouse</c:v>
                </c:pt>
              </c:strCache>
            </c:strRef>
          </c:cat>
          <c:val>
            <c:numRef>
              <c:f>Dashboard!$B$9:$B$16</c:f>
              <c:numCache>
                <c:formatCode>_ * #,##0.00_ ;_ * \-#,##0.00_ ;_ * "-"??_ ;_ @_ </c:formatCode>
                <c:ptCount val="8"/>
                <c:pt idx="0">
                  <c:v>269200</c:v>
                </c:pt>
                <c:pt idx="1">
                  <c:v>226000</c:v>
                </c:pt>
                <c:pt idx="2">
                  <c:v>93250</c:v>
                </c:pt>
                <c:pt idx="3">
                  <c:v>59100</c:v>
                </c:pt>
                <c:pt idx="4">
                  <c:v>185000</c:v>
                </c:pt>
                <c:pt idx="5">
                  <c:v>255000</c:v>
                </c:pt>
                <c:pt idx="6">
                  <c:v>129500</c:v>
                </c:pt>
                <c:pt idx="7">
                  <c:v>137800</c:v>
                </c:pt>
              </c:numCache>
            </c:numRef>
          </c:val>
        </c:ser>
        <c:axId val="117741824"/>
        <c:axId val="145696256"/>
      </c:barChart>
      <c:catAx>
        <c:axId val="117741824"/>
        <c:scaling>
          <c:orientation val="minMax"/>
        </c:scaling>
        <c:axPos val="b"/>
        <c:tickLblPos val="nextTo"/>
        <c:crossAx val="145696256"/>
        <c:crosses val="autoZero"/>
        <c:auto val="1"/>
        <c:lblAlgn val="ctr"/>
        <c:lblOffset val="100"/>
      </c:catAx>
      <c:valAx>
        <c:axId val="145696256"/>
        <c:scaling>
          <c:orientation val="minMax"/>
        </c:scaling>
        <c:axPos val="l"/>
        <c:majorGridlines/>
        <c:numFmt formatCode="_ * #,##0.00_ ;_ * \-#,##0.00_ ;_ * &quot;-&quot;??_ ;_ @_ " sourceLinked="1"/>
        <c:tickLblPos val="nextTo"/>
        <c:crossAx val="11774182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8"/>
  <c:chart>
    <c:title>
      <c:tx>
        <c:rich>
          <a:bodyPr/>
          <a:lstStyle/>
          <a:p>
            <a:pPr>
              <a:defRPr/>
            </a:pPr>
            <a:r>
              <a:rPr lang="en-US"/>
              <a:t>Region Wise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Dashboard!$D$9:$D$12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Dashboard!$E$9:$E$12</c:f>
              <c:numCache>
                <c:formatCode>_ * #,##0.00_ ;_ * \-#,##0.00_ ;_ * "-"??_ ;_ @_ </c:formatCode>
                <c:ptCount val="4"/>
                <c:pt idx="0">
                  <c:v>547050</c:v>
                </c:pt>
                <c:pt idx="1">
                  <c:v>485500</c:v>
                </c:pt>
                <c:pt idx="2">
                  <c:v>317400</c:v>
                </c:pt>
                <c:pt idx="3">
                  <c:v>240900</c:v>
                </c:pt>
              </c:numCache>
            </c:numRef>
          </c:val>
        </c:ser>
        <c:axId val="73093504"/>
        <c:axId val="72970624"/>
      </c:barChart>
      <c:catAx>
        <c:axId val="73093504"/>
        <c:scaling>
          <c:orientation val="minMax"/>
        </c:scaling>
        <c:axPos val="b"/>
        <c:tickLblPos val="nextTo"/>
        <c:crossAx val="72970624"/>
        <c:crosses val="autoZero"/>
        <c:auto val="1"/>
        <c:lblAlgn val="ctr"/>
        <c:lblOffset val="100"/>
      </c:catAx>
      <c:valAx>
        <c:axId val="72970624"/>
        <c:scaling>
          <c:orientation val="minMax"/>
        </c:scaling>
        <c:axPos val="l"/>
        <c:majorGridlines/>
        <c:numFmt formatCode="_ * #,##0.00_ ;_ * \-#,##0.00_ ;_ * &quot;-&quot;??_ ;_ @_ " sourceLinked="1"/>
        <c:tickLblPos val="nextTo"/>
        <c:crossAx val="7309350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60960</xdr:rowOff>
    </xdr:from>
    <xdr:to>
      <xdr:col>7</xdr:col>
      <xdr:colOff>304800</xdr:colOff>
      <xdr:row>31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579120</xdr:colOff>
      <xdr:row>16</xdr:row>
      <xdr:rowOff>60960</xdr:rowOff>
    </xdr:from>
    <xdr:to>
      <xdr:col>15</xdr:col>
      <xdr:colOff>274320</xdr:colOff>
      <xdr:row>31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H32" totalsRowShown="0">
  <autoFilter ref="A1:H32"/>
  <tableColumns count="8">
    <tableColumn id="1" name="Order ID "/>
    <tableColumn id="2" name="DATE" dataDxfId="1"/>
    <tableColumn id="3" name="Product"/>
    <tableColumn id="4" name="Category"/>
    <tableColumn id="5" name="Region"/>
    <tableColumn id="6" name="Quantity"/>
    <tableColumn id="7" name="Unit Price"/>
    <tableColumn id="8" name="Revenue" dataDxfId="0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opLeftCell="A16" workbookViewId="0">
      <selection activeCell="L23" sqref="L23"/>
    </sheetView>
  </sheetViews>
  <sheetFormatPr defaultRowHeight="14.4"/>
  <cols>
    <col min="1" max="1" width="10.21875" customWidth="1"/>
    <col min="2" max="2" width="10.33203125" bestFit="1" customWidth="1"/>
    <col min="3" max="3" width="9.21875" customWidth="1"/>
    <col min="4" max="4" width="10.21875" customWidth="1"/>
    <col min="6" max="6" width="9.88671875" customWidth="1"/>
    <col min="7" max="7" width="10.77734375" customWidth="1"/>
    <col min="8" max="8" width="9.8867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46145</v>
      </c>
      <c r="C2" t="s">
        <v>18</v>
      </c>
      <c r="D2" t="s">
        <v>15</v>
      </c>
      <c r="E2" t="s">
        <v>11</v>
      </c>
      <c r="F2">
        <v>4</v>
      </c>
      <c r="G2">
        <v>59000</v>
      </c>
      <c r="H2">
        <f>F2*G2</f>
        <v>236000</v>
      </c>
    </row>
    <row r="3" spans="1:8">
      <c r="A3">
        <v>2</v>
      </c>
      <c r="B3" s="1">
        <v>46135</v>
      </c>
      <c r="C3" t="s">
        <v>8</v>
      </c>
      <c r="D3" t="s">
        <v>15</v>
      </c>
      <c r="E3" t="s">
        <v>12</v>
      </c>
      <c r="F3">
        <v>6</v>
      </c>
      <c r="G3">
        <v>40000</v>
      </c>
      <c r="H3">
        <f t="shared" ref="H3:H31" si="0">F3*G3</f>
        <v>240000</v>
      </c>
    </row>
    <row r="4" spans="1:8">
      <c r="A4">
        <v>3</v>
      </c>
      <c r="B4" s="1">
        <v>46064</v>
      </c>
      <c r="C4" t="s">
        <v>19</v>
      </c>
      <c r="D4" t="s">
        <v>15</v>
      </c>
      <c r="E4" t="s">
        <v>13</v>
      </c>
      <c r="F4">
        <v>2</v>
      </c>
      <c r="G4">
        <v>25000</v>
      </c>
      <c r="H4">
        <f t="shared" si="0"/>
        <v>50000</v>
      </c>
    </row>
    <row r="5" spans="1:8">
      <c r="A5">
        <v>4</v>
      </c>
      <c r="B5" s="1">
        <v>46243</v>
      </c>
      <c r="C5" t="s">
        <v>20</v>
      </c>
      <c r="D5" t="s">
        <v>15</v>
      </c>
      <c r="E5" t="s">
        <v>11</v>
      </c>
      <c r="F5">
        <v>5</v>
      </c>
      <c r="G5">
        <v>1850</v>
      </c>
      <c r="H5">
        <f t="shared" si="0"/>
        <v>9250</v>
      </c>
    </row>
    <row r="6" spans="1:8">
      <c r="A6">
        <v>5</v>
      </c>
      <c r="B6" s="1">
        <v>46050</v>
      </c>
      <c r="C6" t="s">
        <v>17</v>
      </c>
      <c r="D6" t="s">
        <v>15</v>
      </c>
      <c r="E6" t="s">
        <v>14</v>
      </c>
      <c r="F6">
        <v>3</v>
      </c>
      <c r="G6">
        <v>2200</v>
      </c>
      <c r="H6">
        <f t="shared" si="0"/>
        <v>6600</v>
      </c>
    </row>
    <row r="7" spans="1:8">
      <c r="A7">
        <v>6</v>
      </c>
      <c r="B7" s="1">
        <v>46055</v>
      </c>
      <c r="C7" t="s">
        <v>18</v>
      </c>
      <c r="D7" t="s">
        <v>15</v>
      </c>
      <c r="E7" t="s">
        <v>12</v>
      </c>
      <c r="F7">
        <v>1</v>
      </c>
      <c r="G7">
        <v>59000</v>
      </c>
      <c r="H7">
        <f t="shared" si="0"/>
        <v>59000</v>
      </c>
    </row>
    <row r="8" spans="1:8">
      <c r="A8">
        <v>7</v>
      </c>
      <c r="B8" s="1">
        <v>46060</v>
      </c>
      <c r="C8" t="s">
        <v>8</v>
      </c>
      <c r="D8" t="s">
        <v>16</v>
      </c>
      <c r="E8" t="s">
        <v>13</v>
      </c>
      <c r="F8">
        <v>8</v>
      </c>
      <c r="G8">
        <v>800</v>
      </c>
      <c r="H8">
        <f t="shared" si="0"/>
        <v>6400</v>
      </c>
    </row>
    <row r="9" spans="1:8">
      <c r="A9">
        <v>8</v>
      </c>
      <c r="B9" s="1">
        <v>46067</v>
      </c>
      <c r="C9" t="s">
        <v>9</v>
      </c>
      <c r="D9" t="s">
        <v>16</v>
      </c>
      <c r="E9" t="s">
        <v>14</v>
      </c>
      <c r="F9">
        <v>4</v>
      </c>
      <c r="G9">
        <v>2200</v>
      </c>
      <c r="H9">
        <f t="shared" si="0"/>
        <v>8800</v>
      </c>
    </row>
    <row r="10" spans="1:8">
      <c r="A10">
        <v>9</v>
      </c>
      <c r="B10" s="1">
        <v>46074</v>
      </c>
      <c r="C10" t="s">
        <v>10</v>
      </c>
      <c r="D10" t="s">
        <v>15</v>
      </c>
      <c r="E10" t="s">
        <v>11</v>
      </c>
      <c r="F10">
        <v>2</v>
      </c>
      <c r="G10">
        <v>18500</v>
      </c>
      <c r="H10">
        <f t="shared" si="0"/>
        <v>37000</v>
      </c>
    </row>
    <row r="11" spans="1:8">
      <c r="A11">
        <v>10</v>
      </c>
      <c r="B11" s="1">
        <v>46079</v>
      </c>
      <c r="C11" t="s">
        <v>17</v>
      </c>
      <c r="D11" t="s">
        <v>16</v>
      </c>
      <c r="E11" t="s">
        <v>12</v>
      </c>
      <c r="F11">
        <v>5</v>
      </c>
      <c r="G11">
        <v>3500</v>
      </c>
      <c r="H11">
        <f t="shared" si="0"/>
        <v>17500</v>
      </c>
    </row>
    <row r="12" spans="1:8">
      <c r="A12">
        <v>11</v>
      </c>
      <c r="B12" s="1">
        <v>46084</v>
      </c>
      <c r="C12" t="s">
        <v>18</v>
      </c>
      <c r="D12" t="s">
        <v>15</v>
      </c>
      <c r="E12" t="s">
        <v>13</v>
      </c>
      <c r="F12">
        <v>2</v>
      </c>
      <c r="G12">
        <v>28000</v>
      </c>
      <c r="H12">
        <f t="shared" si="0"/>
        <v>56000</v>
      </c>
    </row>
    <row r="13" spans="1:8">
      <c r="A13">
        <v>12</v>
      </c>
      <c r="B13" s="1">
        <v>46090</v>
      </c>
      <c r="C13" t="s">
        <v>19</v>
      </c>
      <c r="D13" t="s">
        <v>15</v>
      </c>
      <c r="E13" t="s">
        <v>14</v>
      </c>
      <c r="F13">
        <v>3</v>
      </c>
      <c r="G13">
        <v>22000</v>
      </c>
      <c r="H13">
        <f t="shared" si="0"/>
        <v>66000</v>
      </c>
    </row>
    <row r="14" spans="1:8">
      <c r="A14">
        <v>13</v>
      </c>
      <c r="B14" s="1">
        <v>46097</v>
      </c>
      <c r="C14" t="s">
        <v>20</v>
      </c>
      <c r="D14" t="s">
        <v>22</v>
      </c>
      <c r="E14" t="s">
        <v>11</v>
      </c>
      <c r="F14">
        <v>2</v>
      </c>
      <c r="G14">
        <v>12000</v>
      </c>
      <c r="H14">
        <f t="shared" si="0"/>
        <v>24000</v>
      </c>
    </row>
    <row r="15" spans="1:8">
      <c r="A15">
        <v>14</v>
      </c>
      <c r="B15" s="1">
        <v>46103</v>
      </c>
      <c r="C15" t="s">
        <v>21</v>
      </c>
      <c r="D15" t="s">
        <v>16</v>
      </c>
      <c r="E15" t="s">
        <v>12</v>
      </c>
      <c r="F15">
        <v>10</v>
      </c>
      <c r="G15">
        <v>800</v>
      </c>
      <c r="H15">
        <f t="shared" si="0"/>
        <v>8000</v>
      </c>
    </row>
    <row r="16" spans="1:8">
      <c r="A16">
        <v>15</v>
      </c>
      <c r="B16" s="1">
        <v>46110</v>
      </c>
      <c r="C16" t="s">
        <v>9</v>
      </c>
      <c r="D16" t="s">
        <v>15</v>
      </c>
      <c r="E16" t="s">
        <v>13</v>
      </c>
      <c r="F16">
        <v>2</v>
      </c>
      <c r="G16">
        <v>59000</v>
      </c>
      <c r="H16">
        <f t="shared" si="0"/>
        <v>118000</v>
      </c>
    </row>
    <row r="17" spans="1:8">
      <c r="A17">
        <v>16</v>
      </c>
      <c r="B17" s="1">
        <v>46116</v>
      </c>
      <c r="C17" t="s">
        <v>8</v>
      </c>
      <c r="D17" t="s">
        <v>16</v>
      </c>
      <c r="E17" t="s">
        <v>11</v>
      </c>
      <c r="F17">
        <v>6</v>
      </c>
      <c r="G17">
        <v>2200</v>
      </c>
      <c r="H17">
        <f t="shared" si="0"/>
        <v>13200</v>
      </c>
    </row>
    <row r="18" spans="1:8">
      <c r="A18">
        <v>17</v>
      </c>
      <c r="B18" s="1">
        <v>46123</v>
      </c>
      <c r="C18" t="s">
        <v>10</v>
      </c>
      <c r="D18" t="s">
        <v>15</v>
      </c>
      <c r="E18" t="s">
        <v>14</v>
      </c>
      <c r="F18">
        <v>3</v>
      </c>
      <c r="G18">
        <v>18500</v>
      </c>
      <c r="H18">
        <f t="shared" si="0"/>
        <v>55500</v>
      </c>
    </row>
    <row r="19" spans="1:8">
      <c r="A19">
        <v>18</v>
      </c>
      <c r="B19" s="1">
        <v>46130</v>
      </c>
      <c r="C19" t="s">
        <v>17</v>
      </c>
      <c r="D19" t="s">
        <v>16</v>
      </c>
      <c r="E19" t="s">
        <v>13</v>
      </c>
      <c r="F19">
        <v>4</v>
      </c>
      <c r="G19">
        <v>3500</v>
      </c>
      <c r="H19">
        <f t="shared" si="0"/>
        <v>14000</v>
      </c>
    </row>
    <row r="20" spans="1:8">
      <c r="A20">
        <v>19</v>
      </c>
      <c r="B20" s="1">
        <v>46137</v>
      </c>
      <c r="C20" t="s">
        <v>18</v>
      </c>
      <c r="D20" t="s">
        <v>15</v>
      </c>
      <c r="E20" t="s">
        <v>12</v>
      </c>
      <c r="F20">
        <v>3</v>
      </c>
      <c r="G20">
        <v>28000</v>
      </c>
      <c r="H20">
        <f t="shared" si="0"/>
        <v>84000</v>
      </c>
    </row>
    <row r="21" spans="1:8">
      <c r="A21">
        <v>20</v>
      </c>
      <c r="B21" s="1">
        <v>46144</v>
      </c>
      <c r="C21" t="s">
        <v>19</v>
      </c>
      <c r="D21" t="s">
        <v>15</v>
      </c>
      <c r="E21" t="s">
        <v>11</v>
      </c>
      <c r="F21">
        <v>2</v>
      </c>
      <c r="G21">
        <v>22000</v>
      </c>
      <c r="H21">
        <f t="shared" si="0"/>
        <v>44000</v>
      </c>
    </row>
    <row r="22" spans="1:8">
      <c r="A22">
        <v>21</v>
      </c>
      <c r="B22" s="1">
        <v>46150</v>
      </c>
      <c r="C22" t="s">
        <v>20</v>
      </c>
      <c r="D22" t="s">
        <v>22</v>
      </c>
      <c r="E22" t="s">
        <v>13</v>
      </c>
      <c r="F22">
        <v>3</v>
      </c>
      <c r="G22">
        <v>12000</v>
      </c>
      <c r="H22">
        <f t="shared" si="0"/>
        <v>36000</v>
      </c>
    </row>
    <row r="23" spans="1:8">
      <c r="A23">
        <v>22</v>
      </c>
      <c r="B23" s="1">
        <v>46157</v>
      </c>
      <c r="C23" t="s">
        <v>21</v>
      </c>
      <c r="D23" t="s">
        <v>15</v>
      </c>
      <c r="E23" t="s">
        <v>14</v>
      </c>
      <c r="F23">
        <v>1</v>
      </c>
      <c r="G23">
        <v>59000</v>
      </c>
      <c r="H23">
        <f t="shared" si="0"/>
        <v>59000</v>
      </c>
    </row>
    <row r="24" spans="1:8">
      <c r="A24">
        <v>23</v>
      </c>
      <c r="B24" s="1">
        <v>46163</v>
      </c>
      <c r="C24" t="s">
        <v>8</v>
      </c>
      <c r="D24" t="s">
        <v>16</v>
      </c>
      <c r="E24" t="s">
        <v>11</v>
      </c>
      <c r="F24">
        <v>12</v>
      </c>
      <c r="G24">
        <v>800</v>
      </c>
      <c r="H24">
        <f t="shared" si="0"/>
        <v>9600</v>
      </c>
    </row>
    <row r="25" spans="1:8">
      <c r="A25">
        <v>24</v>
      </c>
      <c r="B25" s="1">
        <v>46170</v>
      </c>
      <c r="C25" t="s">
        <v>9</v>
      </c>
      <c r="D25" t="s">
        <v>16</v>
      </c>
      <c r="E25" t="s">
        <v>12</v>
      </c>
      <c r="F25">
        <v>5</v>
      </c>
      <c r="G25">
        <v>2200</v>
      </c>
      <c r="H25">
        <f t="shared" si="0"/>
        <v>11000</v>
      </c>
    </row>
    <row r="26" spans="1:8">
      <c r="A26">
        <v>25</v>
      </c>
      <c r="B26" s="1">
        <v>46178</v>
      </c>
      <c r="C26" t="s">
        <v>10</v>
      </c>
      <c r="D26" t="s">
        <v>15</v>
      </c>
      <c r="E26" t="s">
        <v>13</v>
      </c>
      <c r="F26">
        <v>2</v>
      </c>
      <c r="G26">
        <v>18500</v>
      </c>
      <c r="H26">
        <f t="shared" si="0"/>
        <v>37000</v>
      </c>
    </row>
    <row r="27" spans="1:8">
      <c r="A27">
        <v>26</v>
      </c>
      <c r="B27" s="1">
        <v>46185</v>
      </c>
      <c r="C27" t="s">
        <v>17</v>
      </c>
      <c r="D27" t="s">
        <v>16</v>
      </c>
      <c r="E27" t="s">
        <v>14</v>
      </c>
      <c r="F27">
        <v>6</v>
      </c>
      <c r="G27">
        <v>3500</v>
      </c>
      <c r="H27">
        <f t="shared" si="0"/>
        <v>21000</v>
      </c>
    </row>
    <row r="28" spans="1:8">
      <c r="A28">
        <v>27</v>
      </c>
      <c r="B28" s="1">
        <v>46192</v>
      </c>
      <c r="C28" t="s">
        <v>18</v>
      </c>
      <c r="D28" t="s">
        <v>15</v>
      </c>
      <c r="E28" t="s">
        <v>11</v>
      </c>
      <c r="F28">
        <v>2</v>
      </c>
      <c r="G28">
        <v>28000</v>
      </c>
      <c r="H28">
        <f t="shared" si="0"/>
        <v>56000</v>
      </c>
    </row>
    <row r="29" spans="1:8">
      <c r="A29">
        <v>28</v>
      </c>
      <c r="B29" s="1">
        <v>46199</v>
      </c>
      <c r="C29" t="s">
        <v>19</v>
      </c>
      <c r="D29" t="s">
        <v>15</v>
      </c>
      <c r="E29" t="s">
        <v>12</v>
      </c>
      <c r="F29">
        <v>3</v>
      </c>
      <c r="G29">
        <v>22000</v>
      </c>
      <c r="H29">
        <f t="shared" si="0"/>
        <v>66000</v>
      </c>
    </row>
    <row r="30" spans="1:8">
      <c r="A30">
        <v>29</v>
      </c>
      <c r="B30" s="1">
        <v>46207</v>
      </c>
      <c r="C30" t="s">
        <v>20</v>
      </c>
      <c r="D30" t="s">
        <v>22</v>
      </c>
      <c r="E30" t="s">
        <v>14</v>
      </c>
      <c r="F30">
        <v>2</v>
      </c>
      <c r="G30">
        <v>12000</v>
      </c>
      <c r="H30">
        <f t="shared" si="0"/>
        <v>24000</v>
      </c>
    </row>
    <row r="31" spans="1:8">
      <c r="A31">
        <v>30</v>
      </c>
      <c r="B31" s="1">
        <v>46214</v>
      </c>
      <c r="C31" t="s">
        <v>21</v>
      </c>
      <c r="D31" t="s">
        <v>15</v>
      </c>
      <c r="E31" t="s">
        <v>11</v>
      </c>
      <c r="F31">
        <v>2</v>
      </c>
      <c r="G31">
        <v>59000</v>
      </c>
      <c r="H31">
        <f t="shared" si="0"/>
        <v>118000</v>
      </c>
    </row>
    <row r="32" spans="1:8">
      <c r="A32" s="2"/>
      <c r="B32" s="3"/>
      <c r="D32" s="2"/>
      <c r="E32" s="2"/>
      <c r="F32" s="2"/>
      <c r="G32" s="2"/>
      <c r="H3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G16" sqref="G16"/>
    </sheetView>
  </sheetViews>
  <sheetFormatPr defaultRowHeight="14.4"/>
  <cols>
    <col min="2" max="2" width="12.33203125" bestFit="1" customWidth="1"/>
    <col min="5" max="5" width="11.33203125" bestFit="1" customWidth="1"/>
  </cols>
  <sheetData>
    <row r="1" spans="1:5">
      <c r="A1" t="s">
        <v>23</v>
      </c>
      <c r="D1" t="s">
        <v>4</v>
      </c>
      <c r="E1" t="s">
        <v>24</v>
      </c>
    </row>
    <row r="2" spans="1:5">
      <c r="A2" t="s">
        <v>24</v>
      </c>
      <c r="B2" s="14">
        <f>SUM(RawData!H2:H32)</f>
        <v>1590850</v>
      </c>
      <c r="C2" s="14"/>
      <c r="D2" s="14" t="s">
        <v>37</v>
      </c>
      <c r="E2" s="14">
        <f>SUMIF(RawData!$E$2:$E$31,"East",RawData!$H$2:$H$31)</f>
        <v>547050</v>
      </c>
    </row>
    <row r="3" spans="1:5">
      <c r="A3" t="s">
        <v>25</v>
      </c>
      <c r="B3" s="14">
        <f>COUNTA(RawData!A2:A32)</f>
        <v>30</v>
      </c>
      <c r="C3" s="14"/>
      <c r="D3" s="14" t="s">
        <v>12</v>
      </c>
      <c r="E3" s="14">
        <f>SUMIF(RawData!$E$2:$E$31,"North",RawData!$H$2:$H$31)</f>
        <v>485500</v>
      </c>
    </row>
    <row r="4" spans="1:5">
      <c r="A4" t="s">
        <v>26</v>
      </c>
      <c r="B4" s="14">
        <f>SUM(RawData!F2:F32)</f>
        <v>115</v>
      </c>
      <c r="C4" s="14"/>
      <c r="D4" s="14" t="s">
        <v>13</v>
      </c>
      <c r="E4" s="14">
        <f>SUMIF(RawData!$E$2:$E$31,"West",RawData!$H$2:$H$31)</f>
        <v>317400</v>
      </c>
    </row>
    <row r="5" spans="1:5">
      <c r="A5" t="s">
        <v>27</v>
      </c>
      <c r="B5" s="14">
        <f>B2/B3</f>
        <v>53028.333333333336</v>
      </c>
      <c r="C5" s="14"/>
      <c r="D5" s="14" t="s">
        <v>14</v>
      </c>
      <c r="E5" s="14">
        <f>SUMIF(RawData!$E$2:$E$31,"South",RawData!$H$2:$H$31)</f>
        <v>240900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2" sqref="B2:B9"/>
    </sheetView>
  </sheetViews>
  <sheetFormatPr defaultRowHeight="14.4"/>
  <cols>
    <col min="2" max="2" width="11.33203125" bestFit="1" customWidth="1"/>
  </cols>
  <sheetData>
    <row r="1" spans="1:2">
      <c r="A1" t="s">
        <v>2</v>
      </c>
      <c r="B1" t="s">
        <v>24</v>
      </c>
    </row>
    <row r="2" spans="1:2">
      <c r="A2" t="s">
        <v>8</v>
      </c>
      <c r="B2" s="14">
        <f>SUMIF(RawData!C2:C31,A2,RawData!H2:H31)</f>
        <v>269200</v>
      </c>
    </row>
    <row r="3" spans="1:2">
      <c r="A3" t="s">
        <v>19</v>
      </c>
      <c r="B3" s="14">
        <f>SUMIF(RawData!C3:C32,A3,RawData!H3:H32)</f>
        <v>226000</v>
      </c>
    </row>
    <row r="4" spans="1:2">
      <c r="A4" t="s">
        <v>20</v>
      </c>
      <c r="B4" s="14">
        <f>SUMIF(RawData!C4:C33,A4,RawData!H4:H33)</f>
        <v>93250</v>
      </c>
    </row>
    <row r="5" spans="1:2">
      <c r="A5" t="s">
        <v>17</v>
      </c>
      <c r="B5" s="14">
        <f>SUMIF(RawData!C5:C34,A5,RawData!H5:H34)</f>
        <v>59100</v>
      </c>
    </row>
    <row r="6" spans="1:2">
      <c r="A6" t="s">
        <v>21</v>
      </c>
      <c r="B6" s="14">
        <f>SUMIF(RawData!C6:C35,A6,RawData!H6:H35)</f>
        <v>185000</v>
      </c>
    </row>
    <row r="7" spans="1:2">
      <c r="A7" t="s">
        <v>18</v>
      </c>
      <c r="B7" s="14">
        <f>SUMIF(RawData!C7:C36,A7,RawData!H7:H36)</f>
        <v>255000</v>
      </c>
    </row>
    <row r="8" spans="1:2">
      <c r="A8" t="s">
        <v>10</v>
      </c>
      <c r="B8" s="14">
        <f>SUMIF(RawData!C8:C37,A8,RawData!H8:H37)</f>
        <v>129500</v>
      </c>
    </row>
    <row r="9" spans="1:2">
      <c r="A9" t="s">
        <v>9</v>
      </c>
      <c r="B9" s="14">
        <f>SUMIF(RawData!C9:C38,A9,RawData!H9:H38)</f>
        <v>137800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tabSelected="1" zoomScale="85" zoomScaleNormal="85" workbookViewId="0">
      <selection activeCell="H15" sqref="H15"/>
    </sheetView>
  </sheetViews>
  <sheetFormatPr defaultRowHeight="15.6"/>
  <cols>
    <col min="1" max="1" width="14.6640625" style="8" bestFit="1" customWidth="1"/>
    <col min="2" max="2" width="13.33203125" style="8" bestFit="1" customWidth="1"/>
    <col min="3" max="4" width="8.88671875" style="8"/>
    <col min="5" max="5" width="13.33203125" style="8" bestFit="1" customWidth="1"/>
    <col min="6" max="6" width="8.88671875" style="8"/>
    <col min="7" max="7" width="11.6640625" style="8" bestFit="1" customWidth="1"/>
  </cols>
  <sheetData>
    <row r="1" spans="1:8" ht="25.8">
      <c r="A1" s="10" t="s">
        <v>28</v>
      </c>
      <c r="B1" s="4"/>
      <c r="C1" s="4"/>
      <c r="D1" s="4"/>
      <c r="E1" s="4"/>
      <c r="F1" s="4"/>
      <c r="G1" s="4"/>
      <c r="H1" s="4"/>
    </row>
    <row r="3" spans="1:8">
      <c r="A3" s="7" t="s">
        <v>30</v>
      </c>
      <c r="B3" s="7"/>
      <c r="C3" s="7" t="s">
        <v>25</v>
      </c>
      <c r="D3" s="7"/>
      <c r="E3" s="7" t="s">
        <v>29</v>
      </c>
      <c r="F3" s="7"/>
      <c r="G3" s="7" t="s">
        <v>27</v>
      </c>
      <c r="H3" s="5"/>
    </row>
    <row r="4" spans="1:8" ht="14.4">
      <c r="A4" s="6"/>
      <c r="B4" s="6"/>
      <c r="C4" s="6"/>
      <c r="D4" s="6"/>
      <c r="E4" s="6"/>
      <c r="F4" s="6"/>
      <c r="G4" s="6"/>
      <c r="H4" s="6"/>
    </row>
    <row r="5" spans="1:8">
      <c r="A5" s="11">
        <f>Analysis!B2</f>
        <v>1590850</v>
      </c>
      <c r="B5" s="7"/>
      <c r="C5" s="7">
        <f>Analysis!B3</f>
        <v>30</v>
      </c>
      <c r="D5" s="7"/>
      <c r="E5" s="7">
        <f>Analysis!B4</f>
        <v>115</v>
      </c>
      <c r="F5" s="7"/>
      <c r="G5" s="11">
        <f>Analysis!B5</f>
        <v>53028.333333333336</v>
      </c>
      <c r="H5" s="5"/>
    </row>
    <row r="8" spans="1:8">
      <c r="A8" s="9" t="s">
        <v>36</v>
      </c>
      <c r="B8" s="9"/>
      <c r="D8" s="9" t="s">
        <v>38</v>
      </c>
      <c r="E8" s="9"/>
    </row>
    <row r="9" spans="1:8">
      <c r="A9" s="9" t="s">
        <v>8</v>
      </c>
      <c r="B9" s="13">
        <f>SUMIF('Product Analysis'!A2:A9,A9,'Product Analysis'!B2:B9)</f>
        <v>269200</v>
      </c>
      <c r="D9" s="9" t="s">
        <v>11</v>
      </c>
      <c r="E9" s="12">
        <f>Analysis!E2</f>
        <v>547050</v>
      </c>
    </row>
    <row r="10" spans="1:8">
      <c r="A10" s="9" t="s">
        <v>31</v>
      </c>
      <c r="B10" s="13">
        <f>'Product Analysis'!B3</f>
        <v>226000</v>
      </c>
      <c r="D10" s="9" t="s">
        <v>12</v>
      </c>
      <c r="E10" s="13">
        <f>Analysis!E3</f>
        <v>485500</v>
      </c>
    </row>
    <row r="11" spans="1:8">
      <c r="A11" s="9" t="s">
        <v>32</v>
      </c>
      <c r="B11" s="13">
        <f>'Product Analysis'!B4</f>
        <v>93250</v>
      </c>
      <c r="D11" s="9" t="s">
        <v>13</v>
      </c>
      <c r="E11" s="13">
        <f>Analysis!E4</f>
        <v>317400</v>
      </c>
    </row>
    <row r="12" spans="1:8">
      <c r="A12" s="9" t="s">
        <v>17</v>
      </c>
      <c r="B12" s="13">
        <f>'Product Analysis'!B5</f>
        <v>59100</v>
      </c>
      <c r="D12" s="9" t="s">
        <v>14</v>
      </c>
      <c r="E12" s="13">
        <f>Analysis!E5</f>
        <v>240900</v>
      </c>
    </row>
    <row r="13" spans="1:8">
      <c r="A13" s="9" t="s">
        <v>21</v>
      </c>
      <c r="B13" s="13">
        <f>'Product Analysis'!B6</f>
        <v>185000</v>
      </c>
    </row>
    <row r="14" spans="1:8">
      <c r="A14" s="9" t="s">
        <v>33</v>
      </c>
      <c r="B14" s="13">
        <f>'Product Analysis'!B7</f>
        <v>255000</v>
      </c>
    </row>
    <row r="15" spans="1:8">
      <c r="A15" s="9" t="s">
        <v>34</v>
      </c>
      <c r="B15" s="13">
        <f>'Product Analysis'!B8</f>
        <v>129500</v>
      </c>
    </row>
    <row r="16" spans="1:8">
      <c r="A16" s="9" t="s">
        <v>35</v>
      </c>
      <c r="B16" s="13">
        <f>'Product Analysis'!B9</f>
        <v>137800</v>
      </c>
    </row>
  </sheetData>
  <mergeCells count="2">
    <mergeCell ref="A1:H1"/>
    <mergeCell ref="A4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Analysis</vt:lpstr>
      <vt:lpstr>Product 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MSUSERSL123</dc:creator>
  <cp:lastModifiedBy>MSUSERSL123</cp:lastModifiedBy>
  <dcterms:created xsi:type="dcterms:W3CDTF">2026-09-20T10:12:19Z</dcterms:created>
  <dcterms:modified xsi:type="dcterms:W3CDTF">2026-09-23T16:32:02Z</dcterms:modified>
</cp:coreProperties>
</file>